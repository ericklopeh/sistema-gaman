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>
        <is>
          <t>8181234567</t>
        </is>
      </c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Ana Delgado Torres</t>
        </is>
      </c>
      <c r="C2" s="71" t="n"/>
      <c r="D2" s="4" t="inlineStr">
        <is>
          <t>RFC</t>
        </is>
      </c>
      <c r="E2" s="72" t="inlineStr">
        <is>
          <t>DET870622IJ5</t>
        </is>
      </c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/>
      <c r="B4" s="76" t="n"/>
      <c r="C4" s="77" t="n">
        <v>0</v>
      </c>
      <c r="D4" s="77" t="n">
        <v>0</v>
      </c>
      <c r="E4" s="77" t="n">
        <v>0</v>
      </c>
      <c r="F4" s="78" t="n">
        <v>0</v>
      </c>
      <c r="G4" s="79" t="inlineStr"/>
    </row>
    <row r="5" ht="16.5" customHeight="1" thickBot="1">
      <c r="A5" s="80" t="inlineStr"/>
      <c r="B5" s="81" t="n"/>
      <c r="C5" s="77" t="n">
        <v>0</v>
      </c>
      <c r="D5" s="77" t="n">
        <v>0</v>
      </c>
      <c r="E5" s="77" t="n">
        <v>0</v>
      </c>
      <c r="F5" s="78" t="n">
        <v>0</v>
      </c>
      <c r="G5" s="79" t="inlineStr"/>
    </row>
    <row r="6" ht="16.5" customHeight="1" thickBot="1">
      <c r="A6" s="80" t="inlineStr"/>
      <c r="B6" s="81" t="n"/>
      <c r="C6" s="77" t="n">
        <v>0</v>
      </c>
      <c r="D6" s="77" t="n">
        <v>0</v>
      </c>
      <c r="E6" s="77" t="n">
        <v>0</v>
      </c>
      <c r="F6" s="78" t="n">
        <v>0</v>
      </c>
      <c r="G6" s="79" t="inlineStr"/>
    </row>
    <row r="7" ht="16.5" customHeight="1" thickBot="1">
      <c r="A7" s="82" t="inlineStr"/>
      <c r="B7" s="74" t="n"/>
      <c r="C7" s="77" t="n">
        <v>0</v>
      </c>
      <c r="D7" s="83" t="n">
        <v>0</v>
      </c>
      <c r="E7" s="83" t="n">
        <v>0</v>
      </c>
      <c r="F7" s="78" t="n">
        <v>0</v>
      </c>
      <c r="G7" s="79" t="inlineStr"/>
    </row>
    <row r="8" ht="16.5" customHeight="1" thickBot="1">
      <c r="A8" s="75" t="inlineStr"/>
      <c r="B8" s="76" t="n"/>
      <c r="C8" s="77" t="n">
        <v>0</v>
      </c>
      <c r="D8" s="78" t="n">
        <v>0</v>
      </c>
      <c r="E8" s="83" t="n">
        <v>0</v>
      </c>
      <c r="F8" s="78" t="n">
        <v>0</v>
      </c>
      <c r="G8" s="79" t="inlineStr"/>
    </row>
    <row r="9" ht="16.5" customHeight="1" thickBot="1">
      <c r="A9" s="52" t="inlineStr">
        <is>
          <t>TOTAL COMPRA</t>
        </is>
      </c>
      <c r="B9" s="81" t="n"/>
      <c r="C9" s="84">
        <f>SUM(C4:C8)</f>
        <v/>
      </c>
      <c r="D9" s="84">
        <f>SUM(D4:D8)</f>
        <v/>
      </c>
      <c r="E9" s="84">
        <f>SUM(E4:E8)</f>
        <v/>
      </c>
      <c r="F9" s="84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1" t="n"/>
      <c r="C10" s="52" t="inlineStr">
        <is>
          <t>DATOS DE VENTA</t>
        </is>
      </c>
      <c r="D10" s="85" t="n"/>
      <c r="E10" s="85" t="n"/>
      <c r="F10" s="85" t="n"/>
      <c r="G10" s="81" t="n"/>
    </row>
    <row r="11" ht="16.5" customHeight="1" thickBot="1">
      <c r="A11" s="86" t="inlineStr">
        <is>
          <t>Demo GAMAN</t>
        </is>
      </c>
      <c r="B11" s="87" t="n"/>
      <c r="C11" s="16" t="inlineStr">
        <is>
          <t>FOLIO</t>
        </is>
      </c>
      <c r="D11" s="88" t="inlineStr">
        <is>
          <t>000005</t>
        </is>
      </c>
      <c r="E11" s="18" t="inlineStr">
        <is>
          <t>SEMANA</t>
        </is>
      </c>
      <c r="F11" s="88" t="n">
        <v>25</v>
      </c>
      <c r="G11" s="19" t="n"/>
    </row>
    <row r="12" ht="16.5" customHeight="1" thickBot="1">
      <c r="A12" s="89" t="n"/>
      <c r="B12" s="90" t="n"/>
      <c r="C12" s="35" t="inlineStr">
        <is>
          <t>MONTO TOTAL</t>
        </is>
      </c>
      <c r="D12" s="91" t="n">
        <v>28500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89" t="n"/>
      <c r="B13" s="90" t="n"/>
      <c r="C13" s="92" t="n"/>
      <c r="D13" s="92" t="n"/>
      <c r="E13" s="93">
        <f>+D12/F14</f>
        <v/>
      </c>
      <c r="F13" s="94" t="inlineStr">
        <is>
          <t>18/06/2026</t>
        </is>
      </c>
      <c r="G13" s="23">
        <f>INDEX(Hoja2!A2:CV40000,MATCH(Hoja1!F13,Hoja2!A2:A40000,0),MATCH(Hoja1!F14,Hoja2!A1:CV1,0))</f>
        <v/>
      </c>
    </row>
    <row r="14" ht="16.5" customHeight="1" thickBot="1">
      <c r="A14" s="95" t="n"/>
      <c r="B14" s="96" t="n"/>
      <c r="C14" s="97" t="n"/>
      <c r="D14" s="97" t="n"/>
      <c r="E14" s="24" t="inlineStr">
        <is>
          <t>PLAZO</t>
        </is>
      </c>
      <c r="F14" s="98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99" t="inlineStr">
        <is>
          <t>Sergio Vázquez</t>
        </is>
      </c>
      <c r="C15" s="41" t="inlineStr">
        <is>
          <t xml:space="preserve">Elaboro: Erick Lope </t>
        </is>
      </c>
      <c r="D15" s="85" t="n"/>
      <c r="E15" s="85" t="n"/>
      <c r="F15" s="85" t="n"/>
      <c r="G15" s="81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2026-06-19T03:34:56Z</dcterms:modified>
  <cp:lastModifiedBy>Erick Lope Herrera</cp:lastModifiedBy>
</cp:coreProperties>
</file>