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  <sheet name="CUENTAS_TERMINADAS" sheetId="4" state="visible" r:id="rId4"/>
  </sheets>
  <definedNames>
    <definedName name="_xlnm.Print_Area" localSheetId="0">'Hoja1'!$A$1:$E$55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#,##0.00;[Red]#,##0.00"/>
    <numFmt numFmtId="166" formatCode="_-&quot;$&quot;* #,##0.00_-;\-&quot;$&quot;* #,##0.00_-;_-&quot;$&quot;* &quot;-&quot;??_-;_-@_-"/>
    <numFmt numFmtId="167" formatCode="&quot;$&quot;#,##0.00;[Red]\-&quot;$&quot;#,##0.00"/>
    <numFmt numFmtId="168" formatCode="$#,##0.00;-$#,##0.00;$-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sz val="10"/>
      <u val="single"/>
    </font>
    <font>
      <name val="Arial"/>
      <family val="2"/>
      <b val="1"/>
      <sz val="11"/>
    </font>
    <font>
      <name val="Arial"/>
      <family val="2"/>
      <b val="1"/>
      <sz val="8"/>
    </font>
    <font>
      <name val="Calibri"/>
      <family val="2"/>
      <color theme="1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9"/>
      <scheme val="minor"/>
    </font>
    <font>
      <name val="Times New Roman"/>
      <family val="1"/>
      <color rgb="FF404041"/>
      <sz val="14"/>
    </font>
    <font>
      <name val="Segoe UI"/>
      <family val="2"/>
      <color theme="1"/>
      <sz val="1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176">
    <xf numFmtId="0" fontId="0" fillId="0" borderId="0" pivotButton="0" quotePrefix="0" xfId="0"/>
    <xf numFmtId="0" fontId="3" fillId="0" borderId="6" applyAlignment="1" applyProtection="1" pivotButton="0" quotePrefix="0" xfId="0">
      <alignment horizontal="center" vertical="center" wrapText="1"/>
      <protection locked="1" hidden="1"/>
    </xf>
    <xf numFmtId="0" fontId="3" fillId="0" borderId="7" applyAlignment="1" applyProtection="1" pivotButton="0" quotePrefix="0" xfId="0">
      <alignment horizontal="center" vertical="center" wrapText="1"/>
      <protection locked="0" hidden="0"/>
    </xf>
    <xf numFmtId="49" fontId="3" fillId="0" borderId="7" applyAlignment="1" applyProtection="1" pivotButton="0" quotePrefix="0" xfId="0">
      <alignment vertical="center"/>
      <protection locked="0" hidden="0"/>
    </xf>
    <xf numFmtId="14" fontId="5" fillId="0" borderId="10" applyAlignment="1" pivotButton="0" quotePrefix="0" xfId="0">
      <alignment vertical="center"/>
    </xf>
    <xf numFmtId="14" fontId="5" fillId="0" borderId="10" applyAlignment="1" applyProtection="1" pivotButton="0" quotePrefix="0" xfId="0">
      <alignment vertical="center"/>
      <protection locked="0" hidden="0"/>
    </xf>
    <xf numFmtId="0" fontId="3" fillId="0" borderId="14" applyAlignment="1" applyProtection="1" pivotButton="0" quotePrefix="0" xfId="0">
      <alignment horizontal="center" vertical="center"/>
      <protection locked="1" hidden="1"/>
    </xf>
    <xf numFmtId="164" fontId="3" fillId="0" borderId="15" applyAlignment="1" applyProtection="1" pivotButton="0" quotePrefix="0" xfId="1">
      <alignment horizontal="right" vertical="center"/>
      <protection locked="1" hidden="1"/>
    </xf>
    <xf numFmtId="0" fontId="0" fillId="0" borderId="14" pivotButton="0" quotePrefix="0" xfId="0"/>
    <xf numFmtId="164" fontId="0" fillId="0" borderId="16" pivotButton="0" quotePrefix="0" xfId="1"/>
    <xf numFmtId="164" fontId="0" fillId="0" borderId="16" pivotButton="0" quotePrefix="0" xfId="0"/>
    <xf numFmtId="164" fontId="0" fillId="0" borderId="0" pivotButton="0" quotePrefix="0" xfId="0"/>
    <xf numFmtId="10" fontId="0" fillId="0" borderId="0" pivotButton="0" quotePrefix="0" xfId="2"/>
    <xf numFmtId="165" fontId="0" fillId="0" borderId="0" pivotButton="0" quotePrefix="0" xfId="0"/>
    <xf numFmtId="0" fontId="0" fillId="0" borderId="19" pivotButton="0" quotePrefix="0" xfId="0"/>
    <xf numFmtId="166" fontId="0" fillId="0" borderId="20" pivotButton="0" quotePrefix="0" xfId="1"/>
    <xf numFmtId="0" fontId="0" fillId="0" borderId="20" pivotButton="0" quotePrefix="0" xfId="0"/>
    <xf numFmtId="167" fontId="0" fillId="0" borderId="21" applyProtection="1" pivotButton="0" quotePrefix="0" xfId="1">
      <protection locked="0" hidden="0"/>
    </xf>
    <xf numFmtId="166" fontId="0" fillId="0" borderId="0" pivotButton="0" quotePrefix="0" xfId="0"/>
    <xf numFmtId="0" fontId="8" fillId="0" borderId="22" applyAlignment="1" applyProtection="1" pivotButton="0" quotePrefix="0" xfId="0">
      <alignment vertical="center" wrapText="1"/>
      <protection locked="1" hidden="1"/>
    </xf>
    <xf numFmtId="167" fontId="0" fillId="0" borderId="0" pivotButton="0" quotePrefix="0" xfId="0"/>
    <xf numFmtId="0" fontId="3" fillId="0" borderId="11" applyAlignment="1" applyProtection="1" pivotButton="0" quotePrefix="0" xfId="0">
      <alignment vertical="center" wrapText="1"/>
      <protection locked="1" hidden="1"/>
    </xf>
    <xf numFmtId="0" fontId="3" fillId="0" borderId="12" applyAlignment="1" applyProtection="1" pivotButton="0" quotePrefix="0" xfId="0">
      <alignment vertical="center" wrapText="1"/>
      <protection locked="1" hidden="1"/>
    </xf>
    <xf numFmtId="0" fontId="3" fillId="0" borderId="13" applyAlignment="1" applyProtection="1" pivotButton="0" quotePrefix="0" xfId="0">
      <alignment vertical="center" wrapText="1"/>
      <protection locked="1" hidden="1"/>
    </xf>
    <xf numFmtId="49" fontId="3" fillId="0" borderId="14" applyAlignment="1" applyProtection="1" pivotButton="0" quotePrefix="0" xfId="0">
      <alignment horizontal="center" vertical="center"/>
      <protection locked="0" hidden="0"/>
    </xf>
    <xf numFmtId="166" fontId="2" fillId="0" borderId="15" applyAlignment="1" applyProtection="1" pivotButton="0" quotePrefix="0" xfId="1">
      <alignment horizontal="center"/>
      <protection locked="0" hidden="0"/>
    </xf>
    <xf numFmtId="49" fontId="3" fillId="0" borderId="15" applyAlignment="1" applyProtection="1" pivotButton="0" quotePrefix="0" xfId="0">
      <alignment horizontal="center" vertical="center"/>
      <protection locked="0" hidden="0"/>
    </xf>
    <xf numFmtId="166" fontId="2" fillId="0" borderId="16" applyAlignment="1" applyProtection="1" pivotButton="0" quotePrefix="0" xfId="1">
      <alignment horizontal="center"/>
      <protection locked="0" hidden="0"/>
    </xf>
    <xf numFmtId="0" fontId="0" fillId="0" borderId="15" applyAlignment="1" pivotButton="0" quotePrefix="0" xfId="0">
      <alignment horizontal="center" vertical="center" wrapText="1"/>
    </xf>
    <xf numFmtId="0" fontId="0" fillId="0" borderId="15" applyAlignment="1" pivotButton="0" quotePrefix="0" xfId="0">
      <alignment vertical="center" wrapText="1"/>
    </xf>
    <xf numFmtId="0" fontId="0" fillId="0" borderId="31" pivotButton="0" quotePrefix="0" xfId="0"/>
    <xf numFmtId="0" fontId="0" fillId="0" borderId="13" pivotButton="0" quotePrefix="0" xfId="0"/>
    <xf numFmtId="49" fontId="3" fillId="0" borderId="33" applyAlignment="1" applyProtection="1" pivotButton="0" quotePrefix="0" xfId="0">
      <alignment vertical="center" wrapText="1"/>
      <protection locked="1" hidden="1"/>
    </xf>
    <xf numFmtId="49" fontId="0" fillId="0" borderId="0" pivotButton="0" quotePrefix="0" xfId="0"/>
    <xf numFmtId="0" fontId="3" fillId="0" borderId="15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0" fontId="0" fillId="0" borderId="15" pivotButton="0" quotePrefix="0" xfId="0"/>
    <xf numFmtId="0" fontId="3" fillId="0" borderId="36" applyAlignment="1" applyProtection="1" pivotButton="0" quotePrefix="0" xfId="0">
      <alignment horizontal="center" vertical="center"/>
      <protection locked="1" hidden="1"/>
    </xf>
    <xf numFmtId="4" fontId="0" fillId="0" borderId="0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center" vertical="center"/>
      <protection locked="1" hidden="1"/>
    </xf>
    <xf numFmtId="4" fontId="12" fillId="0" borderId="0" pivotButton="0" quotePrefix="0" xfId="0"/>
    <xf numFmtId="0" fontId="13" fillId="0" borderId="0" pivotButton="0" quotePrefix="0" xfId="0"/>
    <xf numFmtId="49" fontId="0" fillId="0" borderId="26" applyAlignment="1" pivotButton="0" quotePrefix="0" xfId="0">
      <alignment horizontal="center" vertical="center" wrapText="1"/>
    </xf>
    <xf numFmtId="166" fontId="0" fillId="0" borderId="27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14" fontId="0" fillId="0" borderId="15" applyAlignment="1" pivotButton="0" quotePrefix="0" xfId="0">
      <alignment horizontal="center"/>
    </xf>
    <xf numFmtId="164" fontId="0" fillId="0" borderId="7" applyAlignment="1" pivotButton="0" quotePrefix="0" xfId="0">
      <alignment horizontal="center"/>
    </xf>
    <xf numFmtId="164" fontId="0" fillId="0" borderId="10" applyAlignment="1" pivotButton="0" quotePrefix="0" xfId="0">
      <alignment horizontal="center"/>
    </xf>
    <xf numFmtId="0" fontId="0" fillId="0" borderId="1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166" fontId="0" fillId="0" borderId="15" applyAlignment="1" pivotButton="0" quotePrefix="0" xfId="0">
      <alignment horizontal="center" vertical="center" wrapText="1"/>
    </xf>
    <xf numFmtId="0" fontId="3" fillId="0" borderId="23" applyAlignment="1" applyProtection="1" pivotButton="0" quotePrefix="0" xfId="0">
      <alignment horizontal="center" vertical="center" wrapText="1"/>
      <protection locked="1" hidden="1"/>
    </xf>
    <xf numFmtId="0" fontId="3" fillId="0" borderId="24" applyAlignment="1" applyProtection="1" pivotButton="0" quotePrefix="0" xfId="0">
      <alignment horizontal="center" vertical="center" wrapText="1"/>
      <protection locked="1" hidden="1"/>
    </xf>
    <xf numFmtId="0" fontId="3" fillId="0" borderId="18" applyAlignment="1" applyProtection="1" pivotButton="0" quotePrefix="0" xfId="0">
      <alignment horizontal="center" vertical="center" wrapText="1"/>
      <protection locked="1" hidden="1"/>
    </xf>
    <xf numFmtId="0" fontId="3" fillId="0" borderId="7" applyAlignment="1" applyProtection="1" pivotButton="0" quotePrefix="0" xfId="0">
      <alignment horizontal="center" vertical="center" wrapText="1"/>
      <protection locked="1" hidden="1"/>
    </xf>
    <xf numFmtId="0" fontId="3" fillId="0" borderId="12" applyAlignment="1" applyProtection="1" pivotButton="0" quotePrefix="0" xfId="0">
      <alignment horizontal="center" vertical="center" wrapText="1"/>
      <protection locked="1" hidden="1"/>
    </xf>
    <xf numFmtId="0" fontId="3" fillId="0" borderId="13" applyAlignment="1" applyProtection="1" pivotButton="0" quotePrefix="0" xfId="0">
      <alignment horizontal="center" vertical="center" wrapText="1"/>
      <protection locked="1" hidden="1"/>
    </xf>
    <xf numFmtId="0" fontId="3" fillId="0" borderId="10" applyAlignment="1" applyProtection="1" pivotButton="0" quotePrefix="0" xfId="0">
      <alignment horizontal="center" vertical="center" wrapText="1"/>
      <protection locked="1" hidden="1"/>
    </xf>
    <xf numFmtId="0" fontId="9" fillId="0" borderId="25" applyAlignment="1" pivotButton="0" quotePrefix="0" xfId="0">
      <alignment horizontal="center" vertical="center" textRotation="255"/>
    </xf>
    <xf numFmtId="165" fontId="3" fillId="0" borderId="14" applyAlignment="1" applyProtection="1" pivotButton="0" quotePrefix="0" xfId="0">
      <alignment horizontal="center" vertical="center"/>
      <protection locked="1" hidden="1"/>
    </xf>
    <xf numFmtId="0" fontId="0" fillId="0" borderId="15" applyAlignment="1" applyProtection="1" pivotButton="0" quotePrefix="0" xfId="0">
      <alignment horizontal="center" vertical="center"/>
      <protection locked="1" hidden="1"/>
    </xf>
    <xf numFmtId="165" fontId="3" fillId="0" borderId="15" applyAlignment="1" applyProtection="1" pivotButton="0" quotePrefix="0" xfId="0">
      <alignment horizontal="center" vertical="center"/>
      <protection locked="1" hidden="1"/>
    </xf>
    <xf numFmtId="0" fontId="0" fillId="0" borderId="16" applyAlignment="1" applyProtection="1" pivotButton="0" quotePrefix="0" xfId="0">
      <alignment horizontal="center" vertical="center"/>
      <protection locked="1" hidden="1"/>
    </xf>
    <xf numFmtId="164" fontId="3" fillId="0" borderId="14" applyAlignment="1" applyProtection="1" pivotButton="0" quotePrefix="0" xfId="0">
      <alignment horizontal="center" vertical="center"/>
      <protection locked="1" hidden="1"/>
    </xf>
    <xf numFmtId="164" fontId="0" fillId="0" borderId="15" applyAlignment="1" applyProtection="1" pivotButton="0" quotePrefix="0" xfId="0">
      <alignment horizontal="center" vertical="center"/>
      <protection locked="1" hidden="1"/>
    </xf>
    <xf numFmtId="164" fontId="0" fillId="0" borderId="14" applyAlignment="1" applyProtection="1" pivotButton="0" quotePrefix="0" xfId="0">
      <alignment horizontal="center" vertical="center"/>
      <protection locked="1" hidden="1"/>
    </xf>
    <xf numFmtId="164" fontId="3" fillId="0" borderId="15" applyAlignment="1" applyProtection="1" pivotButton="0" quotePrefix="0" xfId="0">
      <alignment horizontal="center" vertical="center"/>
      <protection locked="1" hidden="1"/>
    </xf>
    <xf numFmtId="164" fontId="0" fillId="0" borderId="16" applyAlignment="1" applyProtection="1" pivotButton="0" quotePrefix="0" xfId="0">
      <alignment horizontal="center" vertical="center"/>
      <protection locked="1" hidden="1"/>
    </xf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164" fontId="0" fillId="0" borderId="18" applyAlignment="1" pivotButton="0" quotePrefix="0" xfId="0">
      <alignment horizontal="center"/>
    </xf>
    <xf numFmtId="164" fontId="7" fillId="0" borderId="16" applyAlignment="1" applyProtection="1" pivotButton="0" quotePrefix="0" xfId="1">
      <alignment horizontal="center" vertical="center"/>
      <protection locked="1" hidden="1"/>
    </xf>
    <xf numFmtId="164" fontId="7" fillId="0" borderId="17" applyAlignment="1" applyProtection="1" pivotButton="0" quotePrefix="0" xfId="1">
      <alignment horizontal="center" vertical="center"/>
      <protection locked="1" hidden="1"/>
    </xf>
    <xf numFmtId="0" fontId="0" fillId="0" borderId="14" applyAlignment="1" pivotButton="0" quotePrefix="0" xfId="0">
      <alignment horizontal="center" wrapText="1"/>
    </xf>
    <xf numFmtId="164" fontId="0" fillId="0" borderId="16" applyAlignment="1" pivotButton="0" quotePrefix="0" xfId="1">
      <alignment horizontal="center" vertical="center" wrapText="1"/>
    </xf>
    <xf numFmtId="164" fontId="0" fillId="0" borderId="14" applyAlignment="1" pivotButton="0" quotePrefix="0" xfId="0">
      <alignment horizontal="center"/>
    </xf>
    <xf numFmtId="164" fontId="0" fillId="0" borderId="16" applyAlignment="1" pivotButton="0" quotePrefix="0" xfId="0">
      <alignment horizontal="center"/>
    </xf>
    <xf numFmtId="0" fontId="0" fillId="0" borderId="16" applyAlignment="1" pivotButton="0" quotePrefix="0" xfId="0">
      <alignment horizontal="center" wrapText="1"/>
    </xf>
    <xf numFmtId="0" fontId="3" fillId="0" borderId="1" applyAlignment="1" applyProtection="1" pivotButton="0" quotePrefix="0" xfId="0">
      <alignment horizontal="center" vertical="center" wrapText="1"/>
      <protection locked="1" hidden="1"/>
    </xf>
    <xf numFmtId="0" fontId="3" fillId="0" borderId="2" applyAlignment="1" applyProtection="1" pivotButton="0" quotePrefix="0" xfId="0">
      <alignment horizontal="center" vertical="center" wrapText="1"/>
      <protection locked="1" hidden="1"/>
    </xf>
    <xf numFmtId="0" fontId="3" fillId="0" borderId="3" applyAlignment="1" applyProtection="1" pivotButton="0" quotePrefix="0" xfId="0">
      <alignment horizontal="center" vertical="center" wrapText="1"/>
      <protection locked="1" hidden="1"/>
    </xf>
    <xf numFmtId="0" fontId="3" fillId="0" borderId="4" applyAlignment="1" applyProtection="1" pivotButton="0" quotePrefix="0" xfId="0">
      <alignment horizontal="center" vertical="center" wrapText="1"/>
      <protection locked="1" hidden="1"/>
    </xf>
    <xf numFmtId="0" fontId="3" fillId="0" borderId="5" applyAlignment="1" applyProtection="1" pivotButton="0" quotePrefix="0" xfId="0">
      <alignment horizontal="center" vertical="center" wrapText="1"/>
      <protection locked="1" hidden="1"/>
    </xf>
    <xf numFmtId="0" fontId="3" fillId="0" borderId="6" applyAlignment="1" applyProtection="1" pivotButton="0" quotePrefix="0" xfId="0">
      <alignment horizontal="center" vertical="center" wrapText="1"/>
      <protection locked="1" hidden="1"/>
    </xf>
    <xf numFmtId="0" fontId="4" fillId="0" borderId="8" applyAlignment="1" applyProtection="1" pivotButton="0" quotePrefix="0" xfId="0">
      <alignment horizontal="center" vertical="center" wrapText="1"/>
      <protection locked="0" hidden="0"/>
    </xf>
    <xf numFmtId="0" fontId="4" fillId="0" borderId="9" applyAlignment="1" applyProtection="1" pivotButton="0" quotePrefix="0" xfId="0">
      <alignment horizontal="center" vertical="center" wrapText="1"/>
      <protection locked="0" hidden="0"/>
    </xf>
    <xf numFmtId="0" fontId="5" fillId="0" borderId="7" applyAlignment="1" applyProtection="1" pivotButton="0" quotePrefix="0" xfId="0">
      <alignment horizontal="center" vertical="center"/>
      <protection locked="1" hidden="1"/>
    </xf>
    <xf numFmtId="165" fontId="6" fillId="0" borderId="11" applyAlignment="1" applyProtection="1" pivotButton="0" quotePrefix="0" xfId="0">
      <alignment horizontal="center" vertical="center" wrapText="1"/>
      <protection locked="1" hidden="1"/>
    </xf>
    <xf numFmtId="0" fontId="6" fillId="0" borderId="12" applyAlignment="1" applyProtection="1" pivotButton="0" quotePrefix="0" xfId="0">
      <alignment horizontal="center" vertical="center" wrapText="1"/>
      <protection locked="1" hidden="1"/>
    </xf>
    <xf numFmtId="0" fontId="6" fillId="0" borderId="13" applyAlignment="1" applyProtection="1" pivotButton="0" quotePrefix="0" xfId="0">
      <alignment horizontal="center" vertical="center" wrapText="1"/>
      <protection locked="1" hidden="1"/>
    </xf>
    <xf numFmtId="165" fontId="6" fillId="0" borderId="13" applyAlignment="1" applyProtection="1" pivotButton="0" quotePrefix="0" xfId="0">
      <alignment horizontal="center" vertical="center" wrapText="1"/>
      <protection locked="1" hidden="1"/>
    </xf>
    <xf numFmtId="49" fontId="0" fillId="0" borderId="35" applyAlignment="1" pivotButton="0" quotePrefix="0" xfId="0">
      <alignment horizontal="center" wrapText="1"/>
    </xf>
    <xf numFmtId="49" fontId="0" fillId="0" borderId="0" applyAlignment="1" pivotButton="0" quotePrefix="0" xfId="0">
      <alignment horizontal="center" wrapText="1"/>
    </xf>
    <xf numFmtId="49" fontId="0" fillId="0" borderId="32" applyAlignment="1" pivotButton="0" quotePrefix="0" xfId="0">
      <alignment horizontal="center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28" applyAlignment="1" applyProtection="1" pivotButton="0" quotePrefix="0" xfId="0">
      <alignment horizontal="center" vertical="center" wrapText="1"/>
      <protection locked="1" hidden="1"/>
    </xf>
    <xf numFmtId="0" fontId="3" fillId="0" borderId="29" applyAlignment="1" applyProtection="1" pivotButton="0" quotePrefix="0" xfId="0">
      <alignment horizontal="center" vertical="center" wrapText="1"/>
      <protection locked="1" hidden="1"/>
    </xf>
    <xf numFmtId="0" fontId="3" fillId="0" borderId="29" applyAlignment="1" applyProtection="1" pivotButton="0" quotePrefix="0" xfId="0">
      <alignment horizontal="center" vertical="center"/>
      <protection locked="1" hidden="1"/>
    </xf>
    <xf numFmtId="0" fontId="3" fillId="0" borderId="30" applyAlignment="1" applyProtection="1" pivotButton="0" quotePrefix="0" xfId="0">
      <alignment horizontal="center" vertical="center"/>
      <protection locked="1" hidden="1"/>
    </xf>
    <xf numFmtId="0" fontId="3" fillId="0" borderId="32" applyAlignment="1" applyProtection="1" pivotButton="0" quotePrefix="0" xfId="0">
      <alignment horizontal="center" vertical="center" wrapText="1"/>
      <protection locked="1" hidden="1"/>
    </xf>
    <xf numFmtId="0" fontId="3" fillId="0" borderId="0" applyAlignment="1" applyProtection="1" pivotButton="0" quotePrefix="0" xfId="0">
      <alignment horizontal="center" vertical="center" wrapText="1"/>
      <protection locked="1" hidden="1"/>
    </xf>
    <xf numFmtId="49" fontId="5" fillId="0" borderId="8" applyAlignment="1" applyProtection="1" pivotButton="0" quotePrefix="0" xfId="0">
      <alignment horizontal="center" vertical="center" wrapText="1"/>
      <protection locked="1" hidden="1"/>
    </xf>
    <xf numFmtId="49" fontId="5" fillId="0" borderId="34" applyAlignment="1" applyProtection="1" pivotButton="0" quotePrefix="0" xfId="0">
      <alignment horizontal="center" vertical="center" wrapText="1"/>
      <protection locked="1" hidden="1"/>
    </xf>
    <xf numFmtId="49" fontId="3" fillId="0" borderId="8" applyAlignment="1" applyProtection="1" pivotButton="0" quotePrefix="0" xfId="0">
      <alignment horizontal="center" vertical="center"/>
      <protection locked="1" hidden="1"/>
    </xf>
    <xf numFmtId="49" fontId="3" fillId="0" borderId="9" applyAlignment="1" applyProtection="1" pivotButton="0" quotePrefix="0" xfId="0">
      <alignment horizontal="center" vertical="center"/>
      <protection locked="1" hidden="1"/>
    </xf>
    <xf numFmtId="49" fontId="3" fillId="0" borderId="34" applyAlignment="1" applyProtection="1" pivotButton="0" quotePrefix="0" xfId="0">
      <alignment horizontal="center" vertical="center"/>
      <protection locked="1" hidden="1"/>
    </xf>
    <xf numFmtId="49" fontId="5" fillId="0" borderId="8" applyAlignment="1" applyProtection="1" pivotButton="0" quotePrefix="0" xfId="0">
      <alignment horizontal="center" vertical="center"/>
      <protection locked="1" hidden="1"/>
    </xf>
    <xf numFmtId="49" fontId="5" fillId="0" borderId="21" applyAlignment="1" applyProtection="1" pivotButton="0" quotePrefix="0" xfId="0">
      <alignment horizontal="center" vertical="center"/>
      <protection locked="1" hidden="1"/>
    </xf>
    <xf numFmtId="0" fontId="3" fillId="0" borderId="11" applyAlignment="1" applyProtection="1" pivotButton="0" quotePrefix="0" xfId="0">
      <alignment horizontal="center" vertical="center" wrapText="1"/>
      <protection locked="1" hidden="1"/>
    </xf>
    <xf numFmtId="0" fontId="0" fillId="0" borderId="2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9" applyProtection="1" pivotButton="0" quotePrefix="0" xfId="0">
      <protection locked="0" hidden="0"/>
    </xf>
    <xf numFmtId="165" fontId="6" fillId="0" borderId="11" applyAlignment="1" applyProtection="1" pivotButton="0" quotePrefix="0" xfId="0">
      <alignment horizontal="center" vertical="center" wrapText="1"/>
      <protection locked="1" hidden="1"/>
    </xf>
    <xf numFmtId="168" fontId="3" fillId="0" borderId="15" applyAlignment="1" applyProtection="1" pivotButton="0" quotePrefix="0" xfId="1">
      <alignment horizontal="right" vertical="center"/>
      <protection locked="1" hidden="1"/>
    </xf>
    <xf numFmtId="168" fontId="7" fillId="0" borderId="16" applyAlignment="1" applyProtection="1" pivotButton="0" quotePrefix="0" xfId="1">
      <alignment horizontal="center" vertical="center"/>
      <protection locked="1" hidden="1"/>
    </xf>
    <xf numFmtId="168" fontId="0" fillId="0" borderId="16" pivotButton="0" quotePrefix="0" xfId="1"/>
    <xf numFmtId="0" fontId="0" fillId="0" borderId="40" applyProtection="1" pivotButton="0" quotePrefix="0" xfId="0">
      <protection locked="1" hidden="1"/>
    </xf>
    <xf numFmtId="168" fontId="0" fillId="0" borderId="16" pivotButton="0" quotePrefix="0" xfId="0"/>
    <xf numFmtId="168" fontId="0" fillId="0" borderId="16" applyAlignment="1" pivotButton="0" quotePrefix="0" xfId="1">
      <alignment horizontal="center" vertical="center" wrapText="1"/>
    </xf>
    <xf numFmtId="0" fontId="0" fillId="0" borderId="23" pivotButton="0" quotePrefix="0" xfId="0"/>
    <xf numFmtId="0" fontId="0" fillId="0" borderId="41" pivotButton="0" quotePrefix="0" xfId="0"/>
    <xf numFmtId="0" fontId="0" fillId="0" borderId="27" pivotButton="0" quotePrefix="0" xfId="0"/>
    <xf numFmtId="168" fontId="0" fillId="0" borderId="14" applyAlignment="1" pivotButton="0" quotePrefix="0" xfId="0">
      <alignment horizontal="center"/>
    </xf>
    <xf numFmtId="164" fontId="0" fillId="0" borderId="0" pivotButton="0" quotePrefix="0" xfId="0"/>
    <xf numFmtId="0" fontId="0" fillId="0" borderId="38" pivotButton="0" quotePrefix="0" xfId="0"/>
    <xf numFmtId="0" fontId="0" fillId="0" borderId="44" pivotButton="0" quotePrefix="0" xfId="0"/>
    <xf numFmtId="0" fontId="0" fillId="0" borderId="45" pivotButton="0" quotePrefix="0" xfId="0"/>
    <xf numFmtId="165" fontId="0" fillId="0" borderId="0" pivotButton="0" quotePrefix="0" xfId="0"/>
    <xf numFmtId="0" fontId="0" fillId="0" borderId="41" applyProtection="1" pivotButton="0" quotePrefix="0" xfId="0">
      <protection locked="1" hidden="1"/>
    </xf>
    <xf numFmtId="168" fontId="0" fillId="0" borderId="18" applyAlignment="1" pivotButton="0" quotePrefix="0" xfId="0">
      <alignment horizontal="center"/>
    </xf>
    <xf numFmtId="0" fontId="0" fillId="0" borderId="6" pivotButton="0" quotePrefix="0" xfId="0"/>
    <xf numFmtId="168" fontId="0" fillId="0" borderId="20" pivotButton="0" quotePrefix="0" xfId="1"/>
    <xf numFmtId="168" fontId="0" fillId="0" borderId="21" applyProtection="1" pivotButton="0" quotePrefix="0" xfId="1">
      <protection locked="0" hidden="0"/>
    </xf>
    <xf numFmtId="166" fontId="0" fillId="0" borderId="0" pivotButton="0" quotePrefix="0" xfId="0"/>
    <xf numFmtId="0" fontId="0" fillId="0" borderId="43" applyProtection="1" pivotButton="0" quotePrefix="0" xfId="0">
      <protection locked="1" hidden="1"/>
    </xf>
    <xf numFmtId="0" fontId="0" fillId="0" borderId="31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45" applyProtection="1" pivotButton="0" quotePrefix="0" xfId="0">
      <protection locked="1" hidden="1"/>
    </xf>
    <xf numFmtId="0" fontId="0" fillId="0" borderId="46" applyProtection="1" pivotButton="0" quotePrefix="0" xfId="0">
      <protection locked="1" hidden="1"/>
    </xf>
    <xf numFmtId="167" fontId="0" fillId="0" borderId="0" pivotButton="0" quotePrefix="0" xfId="0"/>
    <xf numFmtId="0" fontId="0" fillId="0" borderId="25" pivotButton="0" quotePrefix="0" xfId="0"/>
    <xf numFmtId="166" fontId="2" fillId="0" borderId="15" applyAlignment="1" applyProtection="1" pivotButton="0" quotePrefix="0" xfId="1">
      <alignment horizontal="center"/>
      <protection locked="0" hidden="0"/>
    </xf>
    <xf numFmtId="166" fontId="2" fillId="0" borderId="16" applyAlignment="1" applyProtection="1" pivotButton="0" quotePrefix="0" xfId="1">
      <alignment horizontal="center"/>
      <protection locked="0" hidden="0"/>
    </xf>
    <xf numFmtId="165" fontId="3" fillId="0" borderId="14" applyAlignment="1" applyProtection="1" pivotButton="0" quotePrefix="0" xfId="0">
      <alignment horizontal="center" vertical="center"/>
      <protection locked="1" hidden="1"/>
    </xf>
    <xf numFmtId="0" fontId="0" fillId="0" borderId="27" applyProtection="1" pivotButton="0" quotePrefix="0" xfId="0">
      <protection locked="1" hidden="1"/>
    </xf>
    <xf numFmtId="165" fontId="3" fillId="0" borderId="15" applyAlignment="1" applyProtection="1" pivotButton="0" quotePrefix="0" xfId="0">
      <alignment horizontal="center" vertical="center"/>
      <protection locked="1" hidden="1"/>
    </xf>
    <xf numFmtId="168" fontId="3" fillId="0" borderId="14" applyAlignment="1" applyProtection="1" pivotButton="0" quotePrefix="0" xfId="0">
      <alignment horizontal="center" vertical="center"/>
      <protection locked="1" hidden="1"/>
    </xf>
    <xf numFmtId="0" fontId="0" fillId="0" borderId="38" applyProtection="1" pivotButton="0" quotePrefix="0" xfId="0">
      <protection locked="1" hidden="1"/>
    </xf>
    <xf numFmtId="168" fontId="3" fillId="0" borderId="15" applyAlignment="1" applyProtection="1" pivotButton="0" quotePrefix="0" xfId="0">
      <alignment horizontal="center" vertical="center"/>
      <protection locked="1" hidden="1"/>
    </xf>
    <xf numFmtId="168" fontId="0" fillId="0" borderId="7" applyAlignment="1" pivotButton="0" quotePrefix="0" xfId="0">
      <alignment horizontal="center"/>
    </xf>
    <xf numFmtId="0" fontId="0" fillId="0" borderId="47" pivotButton="0" quotePrefix="0" xfId="0"/>
    <xf numFmtId="168" fontId="0" fillId="0" borderId="15" applyAlignment="1" pivotButton="0" quotePrefix="0" xfId="0">
      <alignment horizontal="center" vertical="center" wrapText="1"/>
    </xf>
    <xf numFmtId="49" fontId="0" fillId="0" borderId="15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9" pivotButton="0" quotePrefix="0" xfId="0"/>
    <xf numFmtId="0" fontId="0" fillId="0" borderId="43" pivotButton="0" quotePrefix="0" xfId="0"/>
    <xf numFmtId="0" fontId="0" fillId="0" borderId="24" pivotButton="0" quotePrefix="0" xfId="0"/>
    <xf numFmtId="0" fontId="0" fillId="0" borderId="46" pivotButton="0" quotePrefix="0" xfId="0"/>
    <xf numFmtId="0" fontId="14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9" applyProtection="1" pivotButton="0" quotePrefix="0" xfId="0">
      <protection locked="1" hidden="1"/>
    </xf>
    <xf numFmtId="0" fontId="0" fillId="0" borderId="34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49" fontId="5" fillId="0" borderId="29" applyAlignment="1" applyProtection="1" pivotButton="0" quotePrefix="0" xfId="0">
      <alignment horizontal="center" vertical="center" wrapText="1"/>
      <protection locked="1" hidden="1"/>
    </xf>
    <xf numFmtId="49" fontId="3" fillId="0" borderId="29" applyAlignment="1" applyProtection="1" pivotButton="0" quotePrefix="0" xfId="0">
      <alignment horizontal="center" vertical="center"/>
      <protection locked="1" hidden="1"/>
    </xf>
    <xf numFmtId="49" fontId="5" fillId="0" borderId="30" applyAlignment="1" applyProtection="1" pivotButton="0" quotePrefix="0" xfId="0">
      <alignment horizontal="center" vertical="center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32" pivotButton="0" quotePrefix="0" xfId="0"/>
    <xf numFmtId="0" fontId="15" fillId="2" borderId="0" applyAlignment="1" pivotButton="0" quotePrefix="0" xfId="0">
      <alignment horizontal="center"/>
    </xf>
  </cellXfs>
  <cellStyles count="3">
    <cellStyle name="Normal" xfId="0" builtinId="0"/>
    <cellStyle name="Moneda" xfId="1" builtinId="4"/>
    <cellStyle name="Porcentaje" xfId="2" builtinId="5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tabSelected="1" zoomScale="85" zoomScaleNormal="85" workbookViewId="0">
      <selection activeCell="E6" sqref="E6"/>
    </sheetView>
  </sheetViews>
  <sheetFormatPr baseColWidth="10" defaultRowHeight="15"/>
  <cols>
    <col width="12.140625" customWidth="1" min="1" max="1"/>
    <col width="16.5703125" customWidth="1" min="2" max="2"/>
    <col width="23.5703125" customWidth="1" min="3" max="3"/>
    <col width="14" customWidth="1" min="4" max="4"/>
    <col width="19.85546875" customWidth="1" min="5" max="5"/>
    <col width="17" customWidth="1" min="6" max="6"/>
    <col width="10.5703125" bestFit="1" customWidth="1" min="7" max="7"/>
  </cols>
  <sheetData>
    <row r="1">
      <c r="A1" s="111" t="inlineStr">
        <is>
          <t xml:space="preserve">REVISION DE TALON DE CHEQUES </t>
        </is>
      </c>
      <c r="B1" s="112" t="n"/>
      <c r="C1" s="112" t="n"/>
      <c r="D1" s="112" t="n"/>
      <c r="E1" s="113" t="n"/>
    </row>
    <row r="2" ht="15.75" customHeight="1" thickBot="1">
      <c r="A2" s="55" t="inlineStr">
        <is>
          <t>MAESTRO</t>
        </is>
      </c>
      <c r="B2" s="114" t="n"/>
      <c r="C2" s="114" t="n"/>
      <c r="D2" s="114" t="n"/>
      <c r="E2" s="115" t="n"/>
    </row>
    <row r="3" ht="17.25" customHeight="1" thickBot="1">
      <c r="A3" s="86" t="inlineStr">
        <is>
          <t>RFC</t>
        </is>
      </c>
      <c r="B3" s="41" t="inlineStr">
        <is>
          <t>DEMO850312AB1</t>
        </is>
      </c>
      <c r="C3" s="2" t="inlineStr">
        <is>
          <t>NOMBRE</t>
        </is>
      </c>
      <c r="D3" s="87" t="inlineStr">
        <is>
          <t>Demo SA</t>
        </is>
      </c>
      <c r="E3" s="116" t="n"/>
    </row>
    <row r="4" ht="15.75" customHeight="1" thickBot="1">
      <c r="A4" s="56" t="inlineStr">
        <is>
          <t xml:space="preserve"> QNA TALON</t>
        </is>
      </c>
      <c r="B4" s="115" t="n"/>
      <c r="C4" s="3" t="inlineStr">
        <is>
          <t>09-2026</t>
        </is>
      </c>
      <c r="D4" s="4" t="inlineStr">
        <is>
          <t>FECHA TALON</t>
        </is>
      </c>
      <c r="E4" s="5" t="inlineStr"/>
    </row>
    <row r="5">
      <c r="A5" s="117" t="inlineStr">
        <is>
          <t>INGRESOS</t>
        </is>
      </c>
      <c r="B5" s="112" t="n"/>
      <c r="C5" s="113" t="n"/>
      <c r="D5" s="117" t="inlineStr">
        <is>
          <t>DEDUCCIONES</t>
        </is>
      </c>
      <c r="E5" s="113" t="n"/>
    </row>
    <row r="6">
      <c r="A6" s="6">
        <f>+Hoja2!A6</f>
        <v/>
      </c>
      <c r="B6" s="118" t="n">
        <v>8500</v>
      </c>
      <c r="C6" s="119" t="n">
        <v>14500</v>
      </c>
      <c r="D6" s="8" t="inlineStr">
        <is>
          <t>DESCUENTOS</t>
        </is>
      </c>
      <c r="E6" s="120" t="n">
        <v>12500</v>
      </c>
    </row>
    <row r="7">
      <c r="A7" s="6">
        <f>+Hoja2!A7</f>
        <v/>
      </c>
      <c r="B7" s="118" t="n">
        <v>4200</v>
      </c>
      <c r="C7" s="121" t="n"/>
      <c r="D7" s="8" t="inlineStr">
        <is>
          <t>SALDO</t>
        </is>
      </c>
      <c r="E7" s="122" t="n">
        <v>2000</v>
      </c>
    </row>
    <row r="8">
      <c r="A8" s="6">
        <f>+Hoja2!A8</f>
        <v/>
      </c>
      <c r="B8" s="118" t="n">
        <v>1800</v>
      </c>
      <c r="C8" s="121" t="n"/>
      <c r="D8" s="76" t="inlineStr">
        <is>
          <t>TOTAL PARA VENTA 70%</t>
        </is>
      </c>
      <c r="E8" s="123" t="n">
        <v>10150</v>
      </c>
    </row>
    <row r="9">
      <c r="A9" s="6">
        <f>+Hoja2!A9</f>
        <v/>
      </c>
      <c r="B9" s="118" t="n">
        <v>0</v>
      </c>
      <c r="C9" s="121" t="n"/>
      <c r="D9" s="124" t="n"/>
      <c r="E9" s="125" t="n"/>
    </row>
    <row r="10">
      <c r="A10" s="6">
        <f>+Hoja2!A10</f>
        <v/>
      </c>
      <c r="B10" s="118" t="n">
        <v>0</v>
      </c>
      <c r="C10" s="121" t="n"/>
      <c r="D10" s="8" t="inlineStr">
        <is>
          <t>SALDO AL 70%</t>
        </is>
      </c>
      <c r="E10" s="122" t="n">
        <v>-2350</v>
      </c>
    </row>
    <row r="11">
      <c r="A11" s="6">
        <f>+Hoja2!A11</f>
        <v/>
      </c>
      <c r="B11" s="118" t="n">
        <v>0</v>
      </c>
      <c r="C11" s="121" t="n"/>
      <c r="D11" s="70" t="inlineStr">
        <is>
          <t>SALDO MAS ABONOS AL 70%</t>
        </is>
      </c>
      <c r="E11" s="126" t="n"/>
    </row>
    <row r="12">
      <c r="A12" s="6">
        <f>+Hoja2!A12</f>
        <v/>
      </c>
      <c r="B12" s="118" t="n">
        <v>0</v>
      </c>
      <c r="C12" s="121" t="n"/>
      <c r="D12" s="127" t="n">
        <v>-2350</v>
      </c>
      <c r="E12" s="126" t="n"/>
      <c r="F12" s="128" t="n"/>
      <c r="G12" s="128" t="n"/>
      <c r="H12" s="128" t="n"/>
    </row>
    <row r="13">
      <c r="A13" s="6">
        <f>+Hoja2!A13</f>
        <v/>
      </c>
      <c r="B13" s="118" t="n">
        <v>0</v>
      </c>
      <c r="C13" s="121" t="n"/>
      <c r="D13" s="76" t="inlineStr">
        <is>
          <t>SALDO MAS ABONO A TERMINAR AL 100</t>
        </is>
      </c>
      <c r="E13" s="129" t="n"/>
      <c r="F13" s="128" t="n"/>
      <c r="G13" s="12" t="n"/>
    </row>
    <row r="14">
      <c r="A14" s="6">
        <f>+Hoja2!A14</f>
        <v/>
      </c>
      <c r="B14" s="118" t="n">
        <v>0</v>
      </c>
      <c r="C14" s="121" t="n"/>
      <c r="D14" s="130" t="n"/>
      <c r="E14" s="131" t="n"/>
      <c r="F14" s="128" t="n"/>
      <c r="H14" s="132" t="n"/>
    </row>
    <row r="15" ht="15.75" customHeight="1" thickBot="1">
      <c r="A15" s="6">
        <f>+Hoja2!A15</f>
        <v/>
      </c>
      <c r="B15" s="118" t="n">
        <v>0</v>
      </c>
      <c r="C15" s="133" t="n"/>
      <c r="D15" s="134" t="n">
        <v>2000</v>
      </c>
      <c r="E15" s="135" t="n"/>
      <c r="F15" s="128" t="n"/>
    </row>
    <row r="16" ht="15.75" customHeight="1" thickBot="1">
      <c r="A16" s="14" t="inlineStr">
        <is>
          <t>DC TALON</t>
        </is>
      </c>
      <c r="B16" s="136" t="n">
        <v>0</v>
      </c>
      <c r="C16" s="16" t="inlineStr">
        <is>
          <t>DC SISTEMA</t>
        </is>
      </c>
      <c r="D16" s="137" t="n">
        <v>0</v>
      </c>
      <c r="E16" s="138">
        <f>+B16-D16</f>
        <v/>
      </c>
      <c r="F16" s="128" t="n"/>
      <c r="G16" s="128" t="n"/>
    </row>
    <row r="17">
      <c r="A17" s="19" t="inlineStr">
        <is>
          <t>VENDEDOR</t>
        </is>
      </c>
      <c r="B17" s="53" t="inlineStr">
        <is>
          <t xml:space="preserve">RECUPERACIÓN   (Abonos a Liquidar) </t>
        </is>
      </c>
      <c r="C17" s="139" t="n"/>
      <c r="D17" s="57" t="inlineStr">
        <is>
          <t>VENTA(entrante o en relcmacion)</t>
        </is>
      </c>
      <c r="E17" s="140" t="n"/>
    </row>
    <row r="18" ht="15.75" customHeight="1" thickBot="1">
      <c r="A18" s="60" t="inlineStr"/>
      <c r="B18" s="141" t="n"/>
      <c r="C18" s="142" t="n"/>
      <c r="D18" s="143" t="n"/>
      <c r="E18" s="142" t="n"/>
      <c r="F18" s="144" t="n"/>
      <c r="G18" s="128" t="n"/>
    </row>
    <row r="19">
      <c r="A19" s="145" t="n"/>
      <c r="B19" s="21" t="inlineStr">
        <is>
          <t>FOLIO</t>
        </is>
      </c>
      <c r="C19" s="22" t="inlineStr">
        <is>
          <t>SALDO</t>
        </is>
      </c>
      <c r="D19" s="22" t="inlineStr">
        <is>
          <t>FOLIO</t>
        </is>
      </c>
      <c r="E19" s="23" t="inlineStr">
        <is>
          <t>SALDO</t>
        </is>
      </c>
      <c r="F19" s="144" t="n"/>
      <c r="G19" s="138" t="n"/>
    </row>
    <row r="20" ht="18.75" customHeight="1">
      <c r="A20" s="145" t="n"/>
      <c r="B20" s="24" t="n"/>
      <c r="C20" s="146" t="n">
        <v>0</v>
      </c>
      <c r="D20" s="26" t="n"/>
      <c r="E20" s="40" t="n">
        <v>0</v>
      </c>
      <c r="F20" s="144" t="n"/>
    </row>
    <row r="21">
      <c r="A21" s="145" t="n"/>
      <c r="B21" s="24" t="n"/>
      <c r="C21" s="146" t="n">
        <v>0</v>
      </c>
      <c r="D21" s="26" t="n"/>
      <c r="E21" s="147" t="n">
        <v>0</v>
      </c>
      <c r="F21" s="144" t="n"/>
    </row>
    <row r="22">
      <c r="A22" s="145" t="n"/>
      <c r="B22" s="24" t="n"/>
      <c r="C22" s="146" t="n">
        <v>0</v>
      </c>
      <c r="D22" s="26" t="n"/>
      <c r="E22" s="147" t="n">
        <v>0</v>
      </c>
    </row>
    <row r="23">
      <c r="A23" s="145" t="n"/>
      <c r="B23" s="24" t="n"/>
      <c r="C23" s="146" t="n">
        <v>0</v>
      </c>
      <c r="D23" s="26" t="n"/>
      <c r="E23" s="147" t="n">
        <v>0</v>
      </c>
    </row>
    <row r="24">
      <c r="A24" s="145" t="n"/>
      <c r="B24" s="148" t="inlineStr">
        <is>
          <t>Total a Recuperar</t>
        </is>
      </c>
      <c r="C24" s="149" t="n"/>
      <c r="D24" s="150" t="inlineStr">
        <is>
          <t>Total a VENDER</t>
        </is>
      </c>
      <c r="E24" s="149" t="n"/>
    </row>
    <row r="25">
      <c r="A25" s="145" t="n"/>
      <c r="B25" s="151" t="n">
        <v>0</v>
      </c>
      <c r="C25" s="152" t="n"/>
      <c r="D25" s="153" t="n">
        <v>0</v>
      </c>
      <c r="E25" s="152" t="n"/>
    </row>
    <row r="26">
      <c r="A26" s="145" t="n"/>
      <c r="B26" s="141" t="n"/>
      <c r="C26" s="142" t="n"/>
      <c r="D26" s="143" t="n"/>
      <c r="E26" s="142" t="n"/>
    </row>
    <row r="27">
      <c r="A27" s="145" t="n"/>
      <c r="B27" s="70" t="inlineStr">
        <is>
          <t>SALDO AL 70</t>
        </is>
      </c>
      <c r="C27" s="126" t="n"/>
      <c r="D27" s="71" t="inlineStr">
        <is>
          <t>SALDO AL 100</t>
        </is>
      </c>
      <c r="E27" s="126" t="n"/>
    </row>
    <row r="28" ht="15.75" customHeight="1" thickBot="1">
      <c r="A28" s="145" t="n"/>
      <c r="B28" s="134" t="n">
        <v>-2350</v>
      </c>
      <c r="C28" s="135" t="n"/>
      <c r="D28" s="154" t="n">
        <v>2000</v>
      </c>
      <c r="E28" s="135" t="n"/>
    </row>
    <row r="30">
      <c r="A30" s="49" t="inlineStr">
        <is>
          <t>REVISION DEL CLIENTE</t>
        </is>
      </c>
      <c r="B30" s="155" t="n"/>
      <c r="C30" s="126" t="n"/>
    </row>
    <row r="31">
      <c r="A31" s="49" t="inlineStr">
        <is>
          <t>PROMOTOR</t>
        </is>
      </c>
      <c r="B31" s="49" t="inlineStr">
        <is>
          <t>Ana Torres</t>
        </is>
      </c>
      <c r="C31" s="126" t="n"/>
    </row>
    <row r="32">
      <c r="A32" s="29" t="inlineStr">
        <is>
          <t>NOMBRE:</t>
        </is>
      </c>
      <c r="B32" s="49" t="inlineStr">
        <is>
          <t>Demo SA</t>
        </is>
      </c>
      <c r="C32" s="126" t="n"/>
    </row>
    <row r="33">
      <c r="A33" s="29" t="inlineStr">
        <is>
          <t>RFC:</t>
        </is>
      </c>
      <c r="B33" s="49" t="inlineStr">
        <is>
          <t>DEMO850312AB1</t>
        </is>
      </c>
      <c r="C33" s="126" t="n"/>
    </row>
    <row r="34">
      <c r="A34" s="29" t="inlineStr">
        <is>
          <t>LIQUIDEZ</t>
        </is>
      </c>
      <c r="B34" s="156" t="n">
        <v>2000</v>
      </c>
      <c r="C34" s="126" t="n"/>
    </row>
    <row r="35">
      <c r="A35" s="29" t="inlineStr">
        <is>
          <t>QNA</t>
        </is>
      </c>
      <c r="B35" s="157" t="inlineStr">
        <is>
          <t>09-2026</t>
        </is>
      </c>
      <c r="C35" s="126" t="n"/>
    </row>
    <row r="36">
      <c r="A36" s="44" t="inlineStr">
        <is>
          <t>COMENTARIO</t>
        </is>
      </c>
      <c r="B36" s="45" t="inlineStr">
        <is>
          <t>Se realizó la revisión del talón correspondiente al cliente:
Cliente: Demo SA
RFC: DEMO850312AB1
Resultado de la revisión:
Tiene liquidez de $2,000.00.</t>
        </is>
      </c>
      <c r="C36" s="129" t="n"/>
    </row>
    <row r="37">
      <c r="A37" s="158" t="n"/>
      <c r="B37" s="159" t="n"/>
      <c r="C37" s="160" t="n"/>
    </row>
    <row r="38">
      <c r="A38" s="158" t="n"/>
      <c r="B38" s="159" t="n"/>
      <c r="C38" s="160" t="n"/>
    </row>
    <row r="39">
      <c r="A39" s="161" t="n"/>
      <c r="B39" s="162" t="n"/>
      <c r="C39" s="131" t="n"/>
    </row>
    <row r="40">
      <c r="A40" s="29" t="inlineStr">
        <is>
          <t>FECHA</t>
        </is>
      </c>
      <c r="B40" s="46" t="inlineStr">
        <is>
          <t>18/06/2026</t>
        </is>
      </c>
      <c r="C40" s="126" t="n"/>
    </row>
    <row r="41">
      <c r="A41" s="163" t="inlineStr">
        <is>
          <t>LIQUIDEZ DEL TALÓN</t>
        </is>
      </c>
      <c r="D41" s="164" t="n">
        <v>2000</v>
      </c>
    </row>
    <row r="42">
      <c r="A42" s="163" t="inlineStr">
        <is>
          <t>APOYO ADICIONAL</t>
        </is>
      </c>
      <c r="D42" s="164" t="n">
        <v>0</v>
      </c>
    </row>
    <row r="43">
      <c r="A43" s="163" t="inlineStr">
        <is>
          <t>TOTAL SALDO LIBERADO</t>
        </is>
      </c>
      <c r="D43" s="164" t="n">
        <v>0</v>
      </c>
    </row>
    <row r="44">
      <c r="A44" s="163" t="inlineStr">
        <is>
          <t>TOTAL SOLO OBSERVADO</t>
        </is>
      </c>
      <c r="D44" s="164" t="n">
        <v>0</v>
      </c>
    </row>
    <row r="45">
      <c r="A45" s="163" t="inlineStr">
        <is>
          <t>MONTO PROGRAMADO</t>
        </is>
      </c>
      <c r="D45" s="164" t="n">
        <v>0</v>
      </c>
    </row>
    <row r="46">
      <c r="A46" s="163" t="inlineStr">
        <is>
          <t>LIQUIDEZ ANTES LIBERACIÓN</t>
        </is>
      </c>
      <c r="D46" s="164" t="n">
        <v>2000</v>
      </c>
    </row>
    <row r="47">
      <c r="A47" s="163" t="inlineStr">
        <is>
          <t>LIQUIDEZ FINAL</t>
        </is>
      </c>
      <c r="D47" s="164" t="n">
        <v>2000</v>
      </c>
    </row>
    <row r="48">
      <c r="A48" s="163" t="inlineStr">
        <is>
          <t>DETALLE CUENTAS LIBERADAS</t>
        </is>
      </c>
    </row>
    <row r="49">
      <c r="A49" s="165" t="inlineStr">
        <is>
          <t>Sin cuentas sumadas a liquidez</t>
        </is>
      </c>
    </row>
    <row r="50"/>
    <row r="51"/>
    <row r="52">
      <c r="A52" s="163" t="inlineStr">
        <is>
          <t>DETALLE CUENTAS OBSERVADAS</t>
        </is>
      </c>
    </row>
    <row r="53">
      <c r="A53" s="165" t="inlineStr">
        <is>
          <t>Sin cuentas solo observadas</t>
        </is>
      </c>
    </row>
    <row r="54"/>
    <row r="55"/>
  </sheetData>
  <mergeCells count="51">
    <mergeCell ref="A36:A39"/>
    <mergeCell ref="A41:C41"/>
    <mergeCell ref="A48:E48"/>
    <mergeCell ref="E8:E9"/>
    <mergeCell ref="A46:C46"/>
    <mergeCell ref="A1:E1"/>
    <mergeCell ref="D46:E46"/>
    <mergeCell ref="C6:C15"/>
    <mergeCell ref="B31:C31"/>
    <mergeCell ref="B27:C27"/>
    <mergeCell ref="A49:E51"/>
    <mergeCell ref="D45:E45"/>
    <mergeCell ref="A42:C42"/>
    <mergeCell ref="D25:E26"/>
    <mergeCell ref="A18:A28"/>
    <mergeCell ref="D44:E44"/>
    <mergeCell ref="A5:C5"/>
    <mergeCell ref="A47:C47"/>
    <mergeCell ref="D11:E11"/>
    <mergeCell ref="D27:E27"/>
    <mergeCell ref="D41:E41"/>
    <mergeCell ref="B36:C39"/>
    <mergeCell ref="A43:C43"/>
    <mergeCell ref="D47:E47"/>
    <mergeCell ref="A44:C44"/>
    <mergeCell ref="A2:E2"/>
    <mergeCell ref="B25:C26"/>
    <mergeCell ref="B34:C34"/>
    <mergeCell ref="D43:E43"/>
    <mergeCell ref="B28:C28"/>
    <mergeCell ref="D8:D9"/>
    <mergeCell ref="D28:E28"/>
    <mergeCell ref="A30:C30"/>
    <mergeCell ref="B40:C40"/>
    <mergeCell ref="D3:E3"/>
    <mergeCell ref="D12:E12"/>
    <mergeCell ref="A4:B4"/>
    <mergeCell ref="B24:C24"/>
    <mergeCell ref="D24:E24"/>
    <mergeCell ref="B33:C33"/>
    <mergeCell ref="B17:C18"/>
    <mergeCell ref="D15:E15"/>
    <mergeCell ref="D42:E42"/>
    <mergeCell ref="D17:E18"/>
    <mergeCell ref="A45:C45"/>
    <mergeCell ref="A52:E52"/>
    <mergeCell ref="D5:E5"/>
    <mergeCell ref="B32:C32"/>
    <mergeCell ref="A53:E55"/>
    <mergeCell ref="B35:C35"/>
    <mergeCell ref="D13:E14"/>
  </mergeCells>
  <conditionalFormatting sqref="B34:B35">
    <cfRule type="cellIs" priority="1" operator="lessThan" dxfId="0">
      <formula>0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D25" sqref="D25"/>
    </sheetView>
  </sheetViews>
  <sheetFormatPr baseColWidth="10" defaultRowHeight="15"/>
  <cols>
    <col width="8.140625" bestFit="1" customWidth="1" min="1" max="1"/>
    <col width="10.140625" bestFit="1" customWidth="1" min="2" max="2"/>
    <col width="12.28515625" bestFit="1" customWidth="1" min="3" max="3"/>
    <col width="9.140625" bestFit="1" customWidth="1" min="4" max="4"/>
    <col width="8.140625" bestFit="1" customWidth="1" min="5" max="5"/>
    <col width="8.7109375" bestFit="1" customWidth="1" min="6" max="6"/>
    <col width="8.140625" bestFit="1" customWidth="1" min="7" max="7"/>
    <col width="8.7109375" bestFit="1" customWidth="1" min="8" max="8"/>
    <col width="8.140625" bestFit="1" customWidth="1" min="9" max="9"/>
    <col width="14.85546875" bestFit="1" customWidth="1" min="10" max="10"/>
    <col width="8.140625" bestFit="1" customWidth="1" min="11" max="11"/>
    <col width="12.5703125" customWidth="1" min="12" max="12"/>
    <col width="8.140625" bestFit="1" customWidth="1" min="13" max="13"/>
    <col width="8.7109375" bestFit="1" customWidth="1" min="14" max="14"/>
    <col width="8.140625" bestFit="1" customWidth="1" min="15" max="15"/>
    <col width="8.7109375" bestFit="1" customWidth="1" min="16" max="16"/>
  </cols>
  <sheetData>
    <row r="1" ht="15.75" customHeight="1" thickBot="1">
      <c r="A1" s="98" t="inlineStr">
        <is>
          <t>CONCEPTOS DE INGRESOS PARA CALCULAR LA CAPACIDAD DE PAGO</t>
        </is>
      </c>
      <c r="B1" s="166" t="n"/>
      <c r="C1" s="166" t="n"/>
      <c r="D1" s="166" t="n"/>
      <c r="E1" s="166" t="n"/>
      <c r="F1" s="166" t="n"/>
      <c r="G1" s="166" t="n"/>
      <c r="H1" s="166" t="n"/>
      <c r="I1" s="167" t="n"/>
      <c r="J1" s="30" t="inlineStr">
        <is>
          <t>D=DESCUENTOS</t>
        </is>
      </c>
      <c r="K1" s="31" t="n"/>
    </row>
    <row r="2" ht="15.75" customHeight="1" thickBot="1">
      <c r="A2" s="102" t="inlineStr">
        <is>
          <t>DEFICINION DE DESCUENTOS</t>
        </is>
      </c>
      <c r="B2" s="168" t="n"/>
      <c r="C2" s="32" t="inlineStr">
        <is>
          <t>07= SUELDO</t>
        </is>
      </c>
      <c r="D2" s="169" t="inlineStr">
        <is>
          <t>A,Q=QUINQUENIO</t>
        </is>
      </c>
      <c r="E2" s="167" t="n"/>
      <c r="F2" s="170" t="inlineStr">
        <is>
          <t>E9=ASIGNACION DOCENTE</t>
        </is>
      </c>
      <c r="G2" s="166" t="n"/>
      <c r="H2" s="167" t="n"/>
      <c r="I2" s="171" t="inlineStr">
        <is>
          <t>E3,E4=ARRAIGO</t>
        </is>
      </c>
      <c r="J2" s="172" t="n"/>
      <c r="K2" s="94" t="inlineStr">
        <is>
          <t>CP=COMPENSASION PROV</t>
        </is>
      </c>
    </row>
    <row r="3">
      <c r="A3" s="173" t="n"/>
      <c r="B3" s="173" t="n"/>
      <c r="C3" s="96" t="inlineStr">
        <is>
          <t>CT= COMPENSASION TEM</t>
        </is>
      </c>
      <c r="D3" s="174" t="n"/>
      <c r="E3" s="174" t="n"/>
      <c r="F3" s="33" t="n"/>
      <c r="G3" s="33" t="n"/>
      <c r="H3" s="33" t="n"/>
      <c r="I3" s="33" t="n"/>
      <c r="J3" s="33" t="n"/>
      <c r="K3" s="33" t="n"/>
    </row>
    <row r="4"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</row>
    <row r="5">
      <c r="A5" t="inlineStr">
        <is>
          <t>CODIGO</t>
        </is>
      </c>
      <c r="B5" t="inlineStr">
        <is>
          <t>ABONOS</t>
        </is>
      </c>
      <c r="C5" t="inlineStr">
        <is>
          <t>CODIGO</t>
        </is>
      </c>
      <c r="D5" t="inlineStr">
        <is>
          <t>ABONOS</t>
        </is>
      </c>
      <c r="E5" t="inlineStr">
        <is>
          <t>CODIGO</t>
        </is>
      </c>
      <c r="F5" t="inlineStr">
        <is>
          <t>ABONOS</t>
        </is>
      </c>
      <c r="G5" t="inlineStr">
        <is>
          <t>CODIGO</t>
        </is>
      </c>
      <c r="H5" t="inlineStr">
        <is>
          <t>ABONOS</t>
        </is>
      </c>
      <c r="I5" t="inlineStr">
        <is>
          <t>CODIGO</t>
        </is>
      </c>
      <c r="J5" t="inlineStr">
        <is>
          <t>ABONOS</t>
        </is>
      </c>
      <c r="K5" t="inlineStr">
        <is>
          <t>CODIGO</t>
        </is>
      </c>
      <c r="L5" t="inlineStr">
        <is>
          <t>ABONOS</t>
        </is>
      </c>
      <c r="M5" t="inlineStr">
        <is>
          <t>CODIGO</t>
        </is>
      </c>
      <c r="N5" t="inlineStr">
        <is>
          <t>ABONOS</t>
        </is>
      </c>
      <c r="O5" t="inlineStr">
        <is>
          <t>CODIGO</t>
        </is>
      </c>
      <c r="P5" t="inlineStr">
        <is>
          <t>ABONOS</t>
        </is>
      </c>
    </row>
    <row r="6">
      <c r="A6" s="34" t="inlineStr">
        <is>
          <t>E4</t>
        </is>
      </c>
      <c r="B6" s="35" t="n"/>
      <c r="C6" s="36">
        <f>+A6</f>
        <v/>
      </c>
      <c r="D6" s="35" t="n"/>
      <c r="E6" s="36">
        <f>+C6</f>
        <v/>
      </c>
      <c r="F6" s="35" t="n"/>
      <c r="G6" s="36">
        <f>+E6</f>
        <v/>
      </c>
      <c r="H6" s="35" t="n"/>
      <c r="I6" s="36">
        <f>+G6</f>
        <v/>
      </c>
      <c r="J6" s="35" t="n"/>
      <c r="K6" s="36">
        <f>+I6</f>
        <v/>
      </c>
      <c r="L6" s="35" t="n"/>
      <c r="M6" s="36">
        <f>+K6</f>
        <v/>
      </c>
      <c r="N6" s="35" t="n"/>
      <c r="O6" s="36">
        <f>+M6</f>
        <v/>
      </c>
      <c r="P6" s="35" t="n"/>
    </row>
    <row r="7">
      <c r="A7" s="34" t="inlineStr">
        <is>
          <t>E3</t>
        </is>
      </c>
      <c r="B7" s="35" t="n"/>
      <c r="C7" s="36">
        <f>+A7</f>
        <v/>
      </c>
      <c r="D7" s="35" t="n"/>
      <c r="E7" s="36">
        <f>+C7</f>
        <v/>
      </c>
      <c r="F7" s="35" t="n"/>
      <c r="G7" s="36">
        <f>+E7</f>
        <v/>
      </c>
      <c r="H7" s="35" t="n"/>
      <c r="I7" s="36">
        <f>+G7</f>
        <v/>
      </c>
      <c r="J7" s="35" t="n"/>
      <c r="K7" s="36">
        <f>+I7</f>
        <v/>
      </c>
      <c r="L7" s="35" t="n"/>
      <c r="M7" s="36">
        <f>+K7</f>
        <v/>
      </c>
      <c r="N7" s="35" t="n"/>
      <c r="O7" s="36">
        <f>+M7</f>
        <v/>
      </c>
      <c r="P7" s="35" t="n"/>
    </row>
    <row r="8">
      <c r="A8" s="34" t="inlineStr">
        <is>
          <t>Q</t>
        </is>
      </c>
      <c r="B8" s="35" t="n"/>
      <c r="C8" s="36">
        <f>+A8</f>
        <v/>
      </c>
      <c r="D8" s="35" t="n"/>
      <c r="E8" s="36">
        <f>+C8</f>
        <v/>
      </c>
      <c r="F8" s="35" t="n"/>
      <c r="G8" s="36">
        <f>+E8</f>
        <v/>
      </c>
      <c r="H8" s="35" t="n"/>
      <c r="I8" s="36">
        <f>+G8</f>
        <v/>
      </c>
      <c r="J8" s="35" t="n"/>
      <c r="K8" s="36">
        <f>+I8</f>
        <v/>
      </c>
      <c r="L8" s="35" t="n"/>
      <c r="M8" s="36">
        <f>+K8</f>
        <v/>
      </c>
      <c r="N8" s="35" t="n"/>
      <c r="O8" s="36">
        <f>+M8</f>
        <v/>
      </c>
      <c r="P8" s="35" t="n"/>
    </row>
    <row r="9">
      <c r="A9" s="34" t="inlineStr">
        <is>
          <t>CP</t>
        </is>
      </c>
      <c r="B9" s="35" t="n"/>
      <c r="C9" s="36">
        <f>+A9</f>
        <v/>
      </c>
      <c r="D9" s="35" t="n"/>
      <c r="E9" s="36">
        <f>+C9</f>
        <v/>
      </c>
      <c r="F9" s="35" t="n"/>
      <c r="G9" s="36">
        <f>+E9</f>
        <v/>
      </c>
      <c r="H9" s="35" t="n"/>
      <c r="I9" s="36">
        <f>+G9</f>
        <v/>
      </c>
      <c r="J9" s="35" t="n"/>
      <c r="K9" s="36">
        <f>+I9</f>
        <v/>
      </c>
      <c r="L9" s="35" t="n"/>
      <c r="M9" s="36">
        <f>+K9</f>
        <v/>
      </c>
      <c r="N9" s="35" t="n"/>
      <c r="O9" s="36">
        <f>+M9</f>
        <v/>
      </c>
      <c r="P9" s="35" t="n"/>
    </row>
    <row r="10">
      <c r="A10" s="34" t="n">
        <v>7</v>
      </c>
      <c r="B10" s="35" t="n"/>
      <c r="C10" s="36">
        <f>+A10</f>
        <v/>
      </c>
      <c r="D10" s="35" t="n"/>
      <c r="E10" s="36">
        <f>+C10</f>
        <v/>
      </c>
      <c r="F10" s="35" t="n"/>
      <c r="G10" s="36">
        <f>+E10</f>
        <v/>
      </c>
      <c r="H10" s="35" t="n"/>
      <c r="I10" s="36">
        <f>+G10</f>
        <v/>
      </c>
      <c r="J10" s="35" t="n"/>
      <c r="K10" s="36">
        <f>+I10</f>
        <v/>
      </c>
      <c r="L10" s="35" t="n"/>
      <c r="M10" s="36">
        <f>+K10</f>
        <v/>
      </c>
      <c r="N10" s="35" t="n"/>
      <c r="O10" s="36">
        <f>+M10</f>
        <v/>
      </c>
      <c r="P10" s="35" t="n"/>
    </row>
    <row r="11">
      <c r="A11" s="34" t="inlineStr">
        <is>
          <t>CT</t>
        </is>
      </c>
      <c r="B11" s="35" t="n"/>
      <c r="C11" s="36">
        <f>+A11</f>
        <v/>
      </c>
      <c r="D11" s="35" t="n"/>
      <c r="E11" s="36">
        <f>+C11</f>
        <v/>
      </c>
      <c r="F11" s="35" t="n"/>
      <c r="G11" s="36">
        <f>+E11</f>
        <v/>
      </c>
      <c r="H11" s="35" t="n"/>
      <c r="I11" s="36">
        <f>+G11</f>
        <v/>
      </c>
      <c r="J11" s="35" t="n"/>
      <c r="K11" s="36">
        <f>+I11</f>
        <v/>
      </c>
      <c r="L11" s="35" t="n"/>
      <c r="M11" s="36">
        <f>+K11</f>
        <v/>
      </c>
      <c r="N11" s="35" t="n"/>
      <c r="O11" s="36">
        <f>+M11</f>
        <v/>
      </c>
      <c r="P11" s="35" t="n"/>
    </row>
    <row r="12">
      <c r="A12" s="34" t="inlineStr">
        <is>
          <t>7B</t>
        </is>
      </c>
      <c r="B12" s="35" t="n"/>
      <c r="C12" s="36">
        <f>+A12</f>
        <v/>
      </c>
      <c r="D12" s="35" t="n"/>
      <c r="E12" s="36">
        <f>+C12</f>
        <v/>
      </c>
      <c r="F12" s="35" t="n"/>
      <c r="G12" s="36">
        <f>+E12</f>
        <v/>
      </c>
      <c r="H12" s="35" t="n"/>
      <c r="I12" s="36">
        <f>+G12</f>
        <v/>
      </c>
      <c r="J12" s="35" t="n"/>
      <c r="K12" s="36">
        <f>+I12</f>
        <v/>
      </c>
      <c r="L12" s="35" t="n"/>
      <c r="M12" s="36">
        <f>+K12</f>
        <v/>
      </c>
      <c r="N12" s="35" t="n"/>
      <c r="O12" s="36">
        <f>+M12</f>
        <v/>
      </c>
      <c r="P12" s="35" t="n"/>
    </row>
    <row r="13">
      <c r="A13" s="34" t="inlineStr">
        <is>
          <t>E9</t>
        </is>
      </c>
      <c r="B13" s="35" t="n"/>
      <c r="C13" s="36">
        <f>+A13</f>
        <v/>
      </c>
      <c r="D13" s="35" t="n"/>
      <c r="E13" s="36">
        <f>+C13</f>
        <v/>
      </c>
      <c r="F13" s="35" t="n"/>
      <c r="G13" s="36">
        <f>+E13</f>
        <v/>
      </c>
      <c r="H13" s="35" t="n"/>
      <c r="I13" s="36">
        <f>+G13</f>
        <v/>
      </c>
      <c r="J13" s="35" t="n"/>
      <c r="K13" s="36">
        <f>+I13</f>
        <v/>
      </c>
      <c r="L13" s="35" t="n"/>
      <c r="M13" s="36">
        <f>+K13</f>
        <v/>
      </c>
      <c r="N13" s="35" t="n"/>
      <c r="O13" s="36">
        <f>+M13</f>
        <v/>
      </c>
      <c r="P13" s="35" t="n"/>
    </row>
    <row r="14">
      <c r="A14" s="34" t="inlineStr">
        <is>
          <t>SG</t>
        </is>
      </c>
      <c r="B14" s="35" t="n"/>
      <c r="C14" s="36">
        <f>+A14</f>
        <v/>
      </c>
      <c r="D14" s="35" t="n"/>
      <c r="E14" s="36">
        <f>+C14</f>
        <v/>
      </c>
      <c r="F14" s="35" t="n"/>
      <c r="G14" s="36">
        <f>+E14</f>
        <v/>
      </c>
      <c r="H14" s="35" t="n"/>
      <c r="I14" s="36">
        <f>+G14</f>
        <v/>
      </c>
      <c r="J14" s="35" t="n"/>
      <c r="K14" s="36">
        <f>+I14</f>
        <v/>
      </c>
      <c r="L14" s="35" t="n"/>
      <c r="M14" s="36">
        <f>+K14</f>
        <v/>
      </c>
      <c r="N14" s="35" t="n"/>
      <c r="O14" s="36">
        <f>+M14</f>
        <v/>
      </c>
      <c r="P14" s="35" t="n"/>
    </row>
    <row r="15">
      <c r="A15" s="36" t="inlineStr">
        <is>
          <t>O1</t>
        </is>
      </c>
      <c r="B15" s="35" t="n"/>
      <c r="C15" s="36">
        <f>+A15</f>
        <v/>
      </c>
      <c r="D15" s="35" t="n"/>
      <c r="E15" s="36">
        <f>+C15</f>
        <v/>
      </c>
      <c r="F15" s="35" t="n"/>
      <c r="G15" s="36">
        <f>+E15</f>
        <v/>
      </c>
      <c r="H15" s="35" t="n"/>
      <c r="I15" s="36">
        <f>+G15</f>
        <v/>
      </c>
      <c r="J15" s="35" t="n"/>
      <c r="K15" s="36">
        <f>+I15</f>
        <v/>
      </c>
      <c r="L15" s="35" t="n"/>
      <c r="M15" s="36">
        <f>+K15</f>
        <v/>
      </c>
      <c r="N15" s="35" t="n"/>
      <c r="O15" s="36">
        <f>+M15</f>
        <v/>
      </c>
      <c r="P15" s="35" t="n"/>
    </row>
    <row r="16">
      <c r="A16" s="37" t="inlineStr">
        <is>
          <t>D</t>
        </is>
      </c>
      <c r="B16" s="35" t="n"/>
      <c r="C16" s="36">
        <f>+A16</f>
        <v/>
      </c>
      <c r="D16" s="35" t="n"/>
      <c r="E16" s="36">
        <f>+C16</f>
        <v/>
      </c>
      <c r="F16" s="35" t="n"/>
      <c r="G16" s="36">
        <f>+E16</f>
        <v/>
      </c>
      <c r="H16" s="35" t="n"/>
      <c r="I16" s="36">
        <f>+G16</f>
        <v/>
      </c>
      <c r="J16" s="35" t="n"/>
      <c r="K16" s="36">
        <f>+I16</f>
        <v/>
      </c>
      <c r="L16" s="35" t="n"/>
      <c r="M16" s="36">
        <f>+K16</f>
        <v/>
      </c>
      <c r="N16" s="35" t="n"/>
      <c r="O16" s="36">
        <f>+M16</f>
        <v/>
      </c>
      <c r="P16" s="35" t="n"/>
    </row>
    <row r="17">
      <c r="A17" s="37" t="inlineStr">
        <is>
          <t>DC</t>
        </is>
      </c>
      <c r="B17" s="35" t="n"/>
      <c r="C17" s="36">
        <f>+A17</f>
        <v/>
      </c>
      <c r="D17" s="35" t="n"/>
      <c r="E17" s="36">
        <f>+C17</f>
        <v/>
      </c>
      <c r="F17" s="35" t="n"/>
      <c r="G17" s="36">
        <f>+E17</f>
        <v/>
      </c>
      <c r="H17" s="35" t="n"/>
      <c r="I17" s="36">
        <f>+G17</f>
        <v/>
      </c>
      <c r="J17" s="35" t="n"/>
      <c r="K17" s="36">
        <f>+I17</f>
        <v/>
      </c>
      <c r="L17" s="35" t="n"/>
      <c r="M17" s="36">
        <f>+K17</f>
        <v/>
      </c>
      <c r="N17" s="35" t="n"/>
      <c r="O17" s="36">
        <f>+M17</f>
        <v/>
      </c>
      <c r="P17" s="35" t="n"/>
    </row>
    <row r="18">
      <c r="A18" s="97" t="inlineStr">
        <is>
          <t>total</t>
        </is>
      </c>
      <c r="B18" s="38" t="n"/>
      <c r="C18" s="97" t="n"/>
      <c r="D18" s="35">
        <f>+SUM(D6:D15)-D16</f>
        <v/>
      </c>
      <c r="E18" s="97" t="n"/>
      <c r="F18" s="35">
        <f>+SUM(F6:F15)-F16</f>
        <v/>
      </c>
      <c r="G18" s="97" t="n"/>
      <c r="H18" s="35">
        <f>+SUM(H6:H15)-H16</f>
        <v/>
      </c>
      <c r="I18" s="97" t="n"/>
      <c r="J18" s="35">
        <f>+SUM(J6:J15)-J16</f>
        <v/>
      </c>
      <c r="K18" s="97" t="n"/>
      <c r="L18" s="35">
        <f>+SUM(L6:L15)-L16</f>
        <v/>
      </c>
      <c r="M18" s="97" t="n"/>
      <c r="N18" s="35">
        <f>+SUM(N6:N15)-N16</f>
        <v/>
      </c>
      <c r="O18" s="97" t="n"/>
      <c r="P18" s="35">
        <f>+SUM(P6:P15)-P16</f>
        <v/>
      </c>
    </row>
    <row r="19">
      <c r="A19" s="97" t="inlineStr">
        <is>
          <t>TOTAL</t>
        </is>
      </c>
      <c r="B19" s="173" t="n"/>
    </row>
    <row r="20">
      <c r="A20" s="34">
        <f>+A6</f>
        <v/>
      </c>
      <c r="B20">
        <f>+B6+D6+F6+J6+H6+L6+N6+P6</f>
        <v/>
      </c>
      <c r="D20" s="35" t="n"/>
    </row>
    <row r="21">
      <c r="A21" s="34">
        <f>+A7</f>
        <v/>
      </c>
      <c r="B21">
        <f>+B7+D7+F7+J7+H7+L7+N7+P7</f>
        <v/>
      </c>
    </row>
    <row r="22">
      <c r="A22" s="34">
        <f>+A8</f>
        <v/>
      </c>
      <c r="B22">
        <f>+B8+D8+F8+J8+H8+L8+N8+P8</f>
        <v/>
      </c>
    </row>
    <row r="23">
      <c r="A23" s="34">
        <f>+A9</f>
        <v/>
      </c>
      <c r="B23">
        <f>+B9+D9+F9+J9+H9+L9+N9+P9</f>
        <v/>
      </c>
    </row>
    <row r="24">
      <c r="A24" s="34">
        <f>+A10</f>
        <v/>
      </c>
      <c r="B24">
        <f>+B10+D10+F10+J10+H10+L10+N10+P10</f>
        <v/>
      </c>
    </row>
    <row r="25">
      <c r="A25" s="34">
        <f>+A11</f>
        <v/>
      </c>
      <c r="B25">
        <f>+B11+D11+F11+J11+H11+L11+N11+P11</f>
        <v/>
      </c>
    </row>
    <row r="26">
      <c r="A26" s="34">
        <f>+A12</f>
        <v/>
      </c>
      <c r="B26">
        <f>+B12+D12+F12+J12+H12+L12+N12+P12</f>
        <v/>
      </c>
    </row>
    <row r="27">
      <c r="A27" s="34">
        <f>+A13</f>
        <v/>
      </c>
      <c r="B27">
        <f>+B13+D13+F13+J13+H13+L13+N13+P13</f>
        <v/>
      </c>
    </row>
    <row r="28">
      <c r="A28" s="34">
        <f>+A14</f>
        <v/>
      </c>
      <c r="B28">
        <f>+B14+D14+F14+J14+H14+L14+N14+P14</f>
        <v/>
      </c>
    </row>
    <row r="29">
      <c r="A29" s="34">
        <f>+A15</f>
        <v/>
      </c>
      <c r="B29">
        <f>+B15+D15+F15+J15+H15+L15+N15+P15</f>
        <v/>
      </c>
    </row>
    <row r="30">
      <c r="A30" s="34">
        <f>+A16</f>
        <v/>
      </c>
      <c r="B30">
        <f>+B16+D16+F16+J16+H16+L16+N16+P16</f>
        <v/>
      </c>
    </row>
    <row r="31">
      <c r="A31" s="34">
        <f>+A17</f>
        <v/>
      </c>
      <c r="B31">
        <f>+B17+D17+F17+J17+H17+L17+N17+P17</f>
        <v/>
      </c>
    </row>
  </sheetData>
  <mergeCells count="8">
    <mergeCell ref="K2:M2"/>
    <mergeCell ref="D2:E2"/>
    <mergeCell ref="A2:B3"/>
    <mergeCell ref="A19:B19"/>
    <mergeCell ref="I2:J2"/>
    <mergeCell ref="A1:I1"/>
    <mergeCell ref="C3:E3"/>
    <mergeCell ref="F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E15" sqref="E15"/>
    </sheetView>
  </sheetViews>
  <sheetFormatPr baseColWidth="10" defaultRowHeight="15"/>
  <sheetData>
    <row r="1">
      <c r="A1" s="138" t="n"/>
      <c r="B1" t="n">
        <v>28254.2</v>
      </c>
    </row>
    <row r="2">
      <c r="A2" s="138">
        <f>+B1-B2</f>
        <v/>
      </c>
      <c r="B2" s="138" t="n">
        <v>12263.92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75" t="inlineStr">
        <is>
          <t>fecha_revision</t>
        </is>
      </c>
      <c r="B1" s="175" t="inlineStr">
        <is>
          <t>cliente</t>
        </is>
      </c>
      <c r="C1" s="175" t="inlineStr">
        <is>
          <t>rfc</t>
        </is>
      </c>
      <c r="D1" s="175" t="inlineStr">
        <is>
          <t>vendedor</t>
        </is>
      </c>
      <c r="E1" s="175" t="inlineStr">
        <is>
          <t>qna_revision</t>
        </is>
      </c>
      <c r="F1" s="175" t="inlineStr">
        <is>
          <t>qna_termina</t>
        </is>
      </c>
      <c r="G1" s="175" t="inlineStr">
        <is>
          <t>saldo_liberado</t>
        </is>
      </c>
      <c r="H1" s="175" t="inlineStr">
        <is>
          <t>sumar_a_liquidez</t>
        </is>
      </c>
      <c r="I1" s="175" t="inlineStr">
        <is>
          <t>observacion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Francisca Mendoza</dc:creator>
  <dcterms:created xsi:type="dcterms:W3CDTF">2025-07-29T22:28:35Z</dcterms:created>
  <dcterms:modified xsi:type="dcterms:W3CDTF">2026-06-19T03:08:33Z</dcterms:modified>
  <cp:lastModifiedBy>Erick Lope Herrera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0x010100517227BB80B00B4BBA2935454461B6BD</vt:lpwstr>
  </property>
  <property name="Order" fmtid="{D5CDD505-2E9C-101B-9397-08002B2CF9AE}" pid="3">
    <vt:r8>3626400</vt:r8>
  </property>
  <property name="MediaServiceImageTags" fmtid="{D5CDD505-2E9C-101B-9397-08002B2CF9AE}" pid="4">
    <vt:lpwstr/>
  </property>
</Properties>
</file>