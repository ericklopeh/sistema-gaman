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98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30" fillId="0" borderId="4" applyAlignment="1" pivotButton="0" quotePrefix="0" xfId="0">
      <alignment horizontal="center" vertic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>
        <is>
          <t>8181234567</t>
        </is>
      </c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Ana Delgado Torres</t>
        </is>
      </c>
      <c r="C2" s="64" t="n"/>
      <c r="D2" s="20" t="inlineStr">
        <is>
          <t>RFC</t>
        </is>
      </c>
      <c r="E2" s="65" t="inlineStr">
        <is>
          <t>DET870622IJ5</t>
        </is>
      </c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/>
      <c r="B4" s="70" t="inlineStr"/>
      <c r="C4" s="71" t="n">
        <v>30000</v>
      </c>
      <c r="D4" s="71" t="n">
        <v>0</v>
      </c>
      <c r="E4" s="71" t="n">
        <v>30000</v>
      </c>
      <c r="F4" s="72" t="n"/>
      <c r="G4" s="73" t="inlineStr"/>
    </row>
    <row r="5" ht="24" customHeight="1" thickBot="1">
      <c r="A5" s="69" t="inlineStr"/>
      <c r="B5" s="70" t="inlineStr"/>
      <c r="C5" s="71">
        <f>+E5-D5-F5</f>
        <v/>
      </c>
      <c r="D5" s="71" t="n">
        <v>0</v>
      </c>
      <c r="E5" s="71" t="n">
        <v>0</v>
      </c>
      <c r="F5" s="72" t="n"/>
      <c r="G5" s="73" t="inlineStr"/>
    </row>
    <row r="6" ht="24" customHeight="1" thickBot="1">
      <c r="A6" s="69" t="inlineStr"/>
      <c r="B6" s="70" t="inlineStr"/>
      <c r="C6" s="71">
        <f>+E6-D6-F6</f>
        <v/>
      </c>
      <c r="D6" s="71" t="n">
        <v>0</v>
      </c>
      <c r="E6" s="71" t="n">
        <v>0</v>
      </c>
      <c r="F6" s="72" t="n"/>
      <c r="G6" s="73" t="inlineStr"/>
    </row>
    <row r="7" ht="24" customHeight="1" thickBot="1">
      <c r="A7" s="74" t="inlineStr"/>
      <c r="B7" s="75" t="inlineStr"/>
      <c r="C7" s="71">
        <f>+E7-D7-F7</f>
        <v/>
      </c>
      <c r="D7" s="76" t="n">
        <v>0</v>
      </c>
      <c r="E7" s="76" t="n">
        <v>0</v>
      </c>
      <c r="F7" s="72" t="n"/>
      <c r="G7" s="73" t="inlineStr"/>
    </row>
    <row r="8" ht="24" customHeight="1" thickBot="1">
      <c r="A8" s="69" t="inlineStr"/>
      <c r="B8" s="70" t="inlineStr"/>
      <c r="C8" s="71">
        <f>+E8-D8-F8</f>
        <v/>
      </c>
      <c r="D8" s="72" t="n">
        <v>0</v>
      </c>
      <c r="E8" s="76" t="n">
        <v>0</v>
      </c>
      <c r="F8" s="72" t="n"/>
      <c r="G8" s="73" t="inlineStr"/>
    </row>
    <row r="9" ht="29.25" customHeight="1" thickBot="1">
      <c r="A9" s="77" t="inlineStr">
        <is>
          <t>TOTAL COMPRA</t>
        </is>
      </c>
      <c r="B9" s="78" t="n"/>
      <c r="C9" s="79">
        <f>SUM(C4:C8)</f>
        <v/>
      </c>
      <c r="D9" s="79">
        <f>SUM(D4:D8)</f>
        <v/>
      </c>
      <c r="E9" s="79">
        <f>SUM(E4:E8)</f>
        <v/>
      </c>
      <c r="F9" s="72">
        <f>SUM(F4:F8)</f>
        <v/>
      </c>
      <c r="G9" s="9" t="n"/>
    </row>
    <row r="10" ht="24" customHeight="1" thickBot="1">
      <c r="A10" s="80" t="inlineStr">
        <is>
          <t>OBSERVACIONES</t>
        </is>
      </c>
      <c r="B10" s="78" t="n"/>
      <c r="C10" s="77" t="inlineStr">
        <is>
          <t>DATOS DE VENTA</t>
        </is>
      </c>
      <c r="D10" s="81" t="n"/>
      <c r="E10" s="81" t="n"/>
      <c r="F10" s="81" t="n"/>
      <c r="G10" s="78" t="n"/>
    </row>
    <row r="11" ht="24" customHeight="1" thickBot="1">
      <c r="A11" s="82" t="inlineStr">
        <is>
          <t>Demo GAMAN</t>
        </is>
      </c>
      <c r="B11" s="83" t="n"/>
      <c r="C11" s="24" t="inlineStr">
        <is>
          <t>FOLIO</t>
        </is>
      </c>
      <c r="D11" s="84" t="inlineStr">
        <is>
          <t>000005</t>
        </is>
      </c>
      <c r="E11" s="10" t="inlineStr">
        <is>
          <t>SEMANA</t>
        </is>
      </c>
      <c r="F11" s="84" t="n">
        <v>25</v>
      </c>
      <c r="G11" s="85" t="n">
        <v>2026</v>
      </c>
    </row>
    <row r="12">
      <c r="A12" s="86" t="n"/>
      <c r="B12" s="87" t="n"/>
      <c r="C12" s="88" t="inlineStr">
        <is>
          <t>MONTO TOTAL</t>
        </is>
      </c>
      <c r="D12" s="89" t="n">
        <v>28500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6" t="n"/>
      <c r="B13" s="87" t="n"/>
      <c r="C13" s="90" t="n"/>
      <c r="D13" s="90" t="n"/>
      <c r="E13" s="91">
        <f>+D12/F14</f>
        <v/>
      </c>
      <c r="F13" s="92" t="inlineStr">
        <is>
          <t>18/06/2026</t>
        </is>
      </c>
      <c r="G13" s="14">
        <f>INDEX(Hoja2!A2:HH40000,MATCH(Hoja1!F13,Hoja2!A2:A40000,0),MATCH(Hoja1!F14,Hoja2!A2:HH2,0))</f>
        <v/>
      </c>
    </row>
    <row r="14" ht="24" customHeight="1" thickBot="1">
      <c r="A14" s="93" t="n"/>
      <c r="B14" s="94" t="n"/>
      <c r="C14" s="95" t="n"/>
      <c r="D14" s="95" t="n"/>
      <c r="E14" s="25" t="inlineStr">
        <is>
          <t>PLAZO</t>
        </is>
      </c>
      <c r="F14" s="96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7" t="inlineStr">
        <is>
          <t>Sergio Vázquez</t>
        </is>
      </c>
      <c r="C15" s="80" t="n"/>
      <c r="D15" s="81" t="n"/>
      <c r="E15" s="81" t="n"/>
      <c r="F15" s="81" t="n"/>
      <c r="G15" s="78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2026-06-19T03:34:57Z</dcterms:modified>
  <cp:lastModifiedBy>SISTEMAS</cp:lastModifiedBy>
  <cp:lastPrinted>2026-01-08T23:18:19Z</cp:lastPrinted>
</cp:coreProperties>
</file>